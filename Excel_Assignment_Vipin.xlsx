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in\Documents\"/>
    </mc:Choice>
  </mc:AlternateContent>
  <xr:revisionPtr revIDLastSave="0" documentId="13_ncr:1_{E491E829-9853-4C7D-8BB0-2B1E51E60BF3}" xr6:coauthVersionLast="47" xr6:coauthVersionMax="47" xr10:uidLastSave="{00000000-0000-0000-0000-000000000000}"/>
  <bookViews>
    <workbookView xWindow="-98" yWindow="-98" windowWidth="19396" windowHeight="11475" xr2:uid="{23CB4207-2993-41F7-A34E-A157095443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N49" i="1"/>
  <c r="N48" i="1"/>
  <c r="N47" i="1"/>
  <c r="N46" i="1"/>
  <c r="N45" i="1"/>
  <c r="M39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27" i="1"/>
  <c r="M29" i="1"/>
  <c r="C12" i="1"/>
</calcChain>
</file>

<file path=xl/sharedStrings.xml><?xml version="1.0" encoding="utf-8"?>
<sst xmlns="http://schemas.openxmlformats.org/spreadsheetml/2006/main" count="278" uniqueCount="133">
  <si>
    <t>type</t>
  </si>
  <si>
    <t>example</t>
  </si>
  <si>
    <t>description</t>
  </si>
  <si>
    <t>Relative</t>
  </si>
  <si>
    <t>Absolute</t>
  </si>
  <si>
    <t>Mixed</t>
  </si>
  <si>
    <t>A1+B1</t>
  </si>
  <si>
    <t>$A$1+$B$1</t>
  </si>
  <si>
    <t>$A1+B$1</t>
  </si>
  <si>
    <t>changes when copied</t>
  </si>
  <si>
    <t>fixed cell reference</t>
  </si>
  <si>
    <t>partially fixed</t>
  </si>
  <si>
    <t>2. Write a formula to calculate the total sales of Car and Bicyle only only.</t>
  </si>
  <si>
    <t>1.  Explain the difference between Relative , Absolute and Mixed Cell Referencing.</t>
  </si>
  <si>
    <t>Vehicle</t>
  </si>
  <si>
    <t>Price</t>
  </si>
  <si>
    <t>car</t>
  </si>
  <si>
    <t>bicycle</t>
  </si>
  <si>
    <t>auto-rickshaw</t>
  </si>
  <si>
    <t>Formula</t>
  </si>
  <si>
    <t>3.  Using the data below, write a formula to calculate the average sales of items priced above 100 but less than 
300:</t>
  </si>
  <si>
    <t>item</t>
  </si>
  <si>
    <t>price</t>
  </si>
  <si>
    <t>sales</t>
  </si>
  <si>
    <t>formula</t>
  </si>
  <si>
    <t>A</t>
  </si>
  <si>
    <t>B</t>
  </si>
  <si>
    <t>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</si>
  <si>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</si>
  <si>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</si>
  <si>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</si>
  <si>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</si>
  <si>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</si>
  <si>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</si>
  <si>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</si>
  <si>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</si>
  <si>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</si>
  <si>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</si>
  <si>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</si>
  <si>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</si>
  <si>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</si>
  <si>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</si>
  <si>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</si>
  <si>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</si>
  <si>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</si>
  <si>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</si>
  <si>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</si>
  <si>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</si>
  <si>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</si>
  <si>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</si>
  <si>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</si>
  <si>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</si>
  <si>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</si>
  <si>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</si>
  <si>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</si>
  <si>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</si>
  <si>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</si>
  <si>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</si>
  <si>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</si>
  <si>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</si>
  <si>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</si>
  <si>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</si>
  <si>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</si>
  <si>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</si>
  <si>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</si>
  <si>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</si>
  <si>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</si>
  <si>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</si>
  <si>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</si>
  <si>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</si>
  <si>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</si>
  <si>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</si>
  <si>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</si>
  <si>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</si>
  <si>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</si>
  <si>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</si>
  <si>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</si>
  <si>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</si>
  <si>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</si>
  <si>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</si>
  <si>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</si>
  <si>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</si>
  <si>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</si>
  <si>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</si>
  <si>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</si>
  <si>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</si>
  <si>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</si>
  <si>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</si>
  <si>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</si>
  <si>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</si>
  <si>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</si>
  <si>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</si>
  <si>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</si>
  <si>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</si>
  <si>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</si>
  <si>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</si>
  <si>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</si>
  <si>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</si>
  <si>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</si>
  <si>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</si>
  <si>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</si>
  <si>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</si>
  <si>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</si>
  <si>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</si>
  <si>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</si>
  <si>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</si>
  <si>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</si>
  <si>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</si>
  <si>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</si>
  <si>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</si>
  <si>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</si>
  <si>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</si>
  <si>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</si>
  <si>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</si>
  <si>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</si>
  <si>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</si>
  <si>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</si>
  <si>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</si>
  <si>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</si>
  <si>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</si>
  <si>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5. Calculate the Total Sales for each row using a formula.</t>
  </si>
  <si>
    <t>Total sales</t>
  </si>
  <si>
    <t>total sales</t>
  </si>
  <si>
    <t>6. Calculate the total sales of Notebooks in the North region only.</t>
  </si>
  <si>
    <t>7.Create a column chart showing total sales by product.</t>
  </si>
  <si>
    <t>product</t>
  </si>
  <si>
    <t>notebook</t>
  </si>
  <si>
    <t>marker</t>
  </si>
  <si>
    <t>pen</t>
  </si>
  <si>
    <t>pencil</t>
  </si>
  <si>
    <t>eraser</t>
  </si>
  <si>
    <t>8. Insert a line chart showing daily sales trend.</t>
  </si>
  <si>
    <t>4.  Count how many customer names are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</si>
</sst>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2" xfId="0" applyFont="1" applyFill="1" applyBorder="1"/>
    <xf numFmtId="0" fontId="2" fillId="0" borderId="2" xfId="0" applyFont="1" applyBorder="1"/>
    <xf numFmtId="0" fontId="1" fillId="0" borderId="0" xfId="0" applyFont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1" applyFont="1" applyBorder="1"/>
    <xf numFmtId="0" fontId="4" fillId="0" borderId="0" xfId="1" applyFont="1" applyAlignment="1">
      <alignment horizontal="center"/>
    </xf>
    <xf numFmtId="0" fontId="4" fillId="0" borderId="13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4" borderId="2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4" fillId="4" borderId="2" xfId="1" applyFont="1" applyFill="1" applyBorder="1"/>
    <xf numFmtId="0" fontId="4" fillId="4" borderId="2" xfId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DDDD0E06-B22D-4E25-A087-6E75000A6A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Sheet1!$N$44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Sheet1!$M$45:$M$49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Sheet1!$N$45:$N$49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4-4BD1-9D6D-3083DDACA6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0962767"/>
        <c:axId val="1190959407"/>
      </c:barChart>
      <c:catAx>
        <c:axId val="119096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59407"/>
        <c:crosses val="autoZero"/>
        <c:auto val="1"/>
        <c:lblAlgn val="ctr"/>
        <c:lblOffset val="100"/>
        <c:noMultiLvlLbl val="0"/>
      </c:catAx>
      <c:valAx>
        <c:axId val="11909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6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Sheet1!$K$26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Sheet1!$J$27:$J$76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Sheet1!$K$27:$K$76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B-46C4-9AC3-A5D4B736D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455855"/>
        <c:axId val="234448655"/>
      </c:lineChart>
      <c:catAx>
        <c:axId val="23445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48655"/>
        <c:crosses val="autoZero"/>
        <c:auto val="1"/>
        <c:lblAlgn val="ctr"/>
        <c:lblOffset val="100"/>
        <c:noMultiLvlLbl val="0"/>
      </c:catAx>
      <c:valAx>
        <c:axId val="2344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273844</xdr:colOff>
      <xdr:row>43</xdr:row>
      <xdr:rowOff>14287</xdr:rowOff>
    </xdr:from>
    <xdr:to>
      <xdr:col>19</xdr:col>
      <xdr:colOff>14288</xdr:colOff>
      <xdr:row>51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D2CB2-AE63-F6AA-25AB-B6EE446F1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497680</xdr:colOff>
      <xdr:row>54</xdr:row>
      <xdr:rowOff>28575</xdr:rowOff>
    </xdr:from>
    <xdr:to>
      <xdr:col>17</xdr:col>
      <xdr:colOff>209550</xdr:colOff>
      <xdr:row>66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2BD77-3FBB-BBC8-EE12-E49D457B6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841A-FBBA-46C7-9230-1A5143BA424B}">
  <dimension ref="A1:P76"/>
  <sheetViews>
    <sheetView tabSelected="1" topLeftCell="A7" workbookViewId="0">
      <selection activeCell="G21" sqref="G21"/>
    </sheetView>
  </sheetViews>
  <sheetFormatPr defaultRowHeight="14.25" x14ac:dyDescent="0.45"/>
  <cols>
    <col min="1" max="1" width="13.53125" customWidth="1"/>
    <col min="2" max="3" width="13.06640625" customWidth="1"/>
    <col min="4" max="4" width="6.640625E-2" hidden="1" customWidth="1"/>
    <col min="5" max="5" width="9.06640625" hidden="1" customWidth="1"/>
    <col min="6" max="6" width="8.6640625" hidden="1" customWidth="1"/>
    <col min="7" max="9" width="8.6640625" customWidth="1"/>
    <col min="10" max="10" width="12" customWidth="1"/>
  </cols>
  <sheetData>
    <row r="1" spans="1:10" ht="14.25" customHeight="1" x14ac:dyDescent="0.45">
      <c r="A1" s="31" t="s">
        <v>13</v>
      </c>
      <c r="B1" s="32"/>
      <c r="C1" s="32"/>
      <c r="D1" s="32"/>
      <c r="E1" s="32"/>
      <c r="F1" s="32"/>
      <c r="G1" s="32"/>
    </row>
    <row r="2" spans="1:10" x14ac:dyDescent="0.45">
      <c r="A2" s="33"/>
      <c r="B2" s="34"/>
      <c r="C2" s="34"/>
      <c r="D2" s="34"/>
      <c r="E2" s="34"/>
      <c r="F2" s="34"/>
      <c r="G2" s="34"/>
    </row>
    <row r="3" spans="1:10" x14ac:dyDescent="0.45">
      <c r="A3" s="3" t="s">
        <v>0</v>
      </c>
      <c r="B3" s="3" t="s">
        <v>1</v>
      </c>
      <c r="C3" s="38" t="s">
        <v>2</v>
      </c>
      <c r="D3" s="39"/>
      <c r="E3" s="39"/>
      <c r="F3" s="39"/>
      <c r="G3" s="40"/>
    </row>
    <row r="4" spans="1:10" x14ac:dyDescent="0.45">
      <c r="A4" s="2" t="s">
        <v>3</v>
      </c>
      <c r="B4" s="4" t="s">
        <v>6</v>
      </c>
      <c r="C4" s="35" t="s">
        <v>9</v>
      </c>
      <c r="D4" s="36"/>
      <c r="E4" s="36"/>
      <c r="F4" s="36"/>
      <c r="G4" s="37"/>
    </row>
    <row r="5" spans="1:10" x14ac:dyDescent="0.45">
      <c r="A5" s="2" t="s">
        <v>4</v>
      </c>
      <c r="B5" s="4" t="s">
        <v>7</v>
      </c>
      <c r="C5" s="35" t="s">
        <v>10</v>
      </c>
      <c r="D5" s="36"/>
      <c r="E5" s="36"/>
      <c r="F5" s="36"/>
      <c r="G5" s="37"/>
    </row>
    <row r="6" spans="1:10" x14ac:dyDescent="0.45">
      <c r="A6" s="2" t="s">
        <v>5</v>
      </c>
      <c r="B6" s="4" t="s">
        <v>8</v>
      </c>
      <c r="C6" s="35" t="s">
        <v>11</v>
      </c>
      <c r="D6" s="36"/>
      <c r="E6" s="36"/>
      <c r="F6" s="36"/>
      <c r="G6" s="37"/>
    </row>
    <row r="9" spans="1:10" x14ac:dyDescent="0.45">
      <c r="A9" s="44" t="s">
        <v>12</v>
      </c>
      <c r="B9" s="44"/>
      <c r="C9" s="44"/>
    </row>
    <row r="10" spans="1:10" x14ac:dyDescent="0.45">
      <c r="A10" s="44"/>
      <c r="B10" s="44"/>
      <c r="C10" s="44"/>
    </row>
    <row r="11" spans="1:10" x14ac:dyDescent="0.45">
      <c r="A11" s="3" t="s">
        <v>14</v>
      </c>
      <c r="B11" s="3" t="s">
        <v>15</v>
      </c>
      <c r="C11" s="3" t="s">
        <v>19</v>
      </c>
    </row>
    <row r="12" spans="1:10" x14ac:dyDescent="0.45">
      <c r="A12" s="2" t="s">
        <v>16</v>
      </c>
      <c r="B12" s="1">
        <v>500000</v>
      </c>
      <c r="C12" s="1">
        <f>SUM(B12,B13)</f>
        <v>510500</v>
      </c>
    </row>
    <row r="13" spans="1:10" x14ac:dyDescent="0.45">
      <c r="A13" s="2" t="s">
        <v>17</v>
      </c>
      <c r="B13" s="1">
        <v>10500</v>
      </c>
      <c r="C13" s="2"/>
    </row>
    <row r="14" spans="1:10" x14ac:dyDescent="0.45">
      <c r="A14" s="2" t="s">
        <v>18</v>
      </c>
      <c r="B14" s="1">
        <v>25000</v>
      </c>
      <c r="C14" s="2"/>
    </row>
    <row r="15" spans="1:10" x14ac:dyDescent="0.45">
      <c r="H15" s="10"/>
      <c r="I15" s="10"/>
      <c r="J15" s="10"/>
    </row>
    <row r="16" spans="1:10" x14ac:dyDescent="0.45">
      <c r="H16" s="10"/>
      <c r="I16" s="10"/>
      <c r="J16" s="10"/>
    </row>
    <row r="17" spans="1:16" ht="14.25" customHeight="1" x14ac:dyDescent="0.45">
      <c r="A17" s="22" t="s">
        <v>20</v>
      </c>
      <c r="B17" s="23"/>
      <c r="C17" s="23"/>
      <c r="D17" s="23"/>
      <c r="E17" s="23"/>
      <c r="F17" s="23"/>
      <c r="G17" s="24"/>
      <c r="H17" s="10"/>
      <c r="I17" s="10"/>
      <c r="J17" s="10"/>
    </row>
    <row r="18" spans="1:16" x14ac:dyDescent="0.45">
      <c r="A18" s="25"/>
      <c r="B18" s="26"/>
      <c r="C18" s="26"/>
      <c r="D18" s="26"/>
      <c r="E18" s="26"/>
      <c r="F18" s="26"/>
      <c r="G18" s="27"/>
      <c r="H18" s="10"/>
      <c r="I18" s="10"/>
      <c r="J18" s="10"/>
    </row>
    <row r="19" spans="1:16" x14ac:dyDescent="0.45">
      <c r="A19" s="28"/>
      <c r="B19" s="29"/>
      <c r="C19" s="29"/>
      <c r="D19" s="29"/>
      <c r="E19" s="29"/>
      <c r="F19" s="29"/>
      <c r="G19" s="30"/>
      <c r="H19" s="10"/>
      <c r="I19" s="10"/>
      <c r="J19" s="10"/>
    </row>
    <row r="20" spans="1:16" x14ac:dyDescent="0.45">
      <c r="A20" s="7" t="s">
        <v>21</v>
      </c>
      <c r="B20" s="7" t="s">
        <v>22</v>
      </c>
      <c r="C20" s="7" t="s">
        <v>23</v>
      </c>
      <c r="D20" s="7"/>
      <c r="E20" s="7"/>
      <c r="F20" s="7"/>
      <c r="G20" s="7" t="s">
        <v>24</v>
      </c>
      <c r="H20" s="10"/>
      <c r="I20" s="10"/>
      <c r="J20" s="10"/>
    </row>
    <row r="21" spans="1:16" x14ac:dyDescent="0.45">
      <c r="A21" s="1" t="s">
        <v>25</v>
      </c>
      <c r="B21" s="1">
        <v>90</v>
      </c>
      <c r="C21" s="1">
        <v>1000</v>
      </c>
      <c r="D21" s="1"/>
      <c r="E21" s="1"/>
      <c r="F21" s="1"/>
      <c r="G21" s="1">
        <f>AVERAGEIFS(C21:C23, B21:B23, "&gt;100", B21:B23, "&lt;300")</f>
        <v>1350</v>
      </c>
      <c r="H21" s="10"/>
      <c r="I21" s="10"/>
      <c r="J21" s="10"/>
    </row>
    <row r="22" spans="1:16" x14ac:dyDescent="0.45">
      <c r="A22" s="1" t="s">
        <v>26</v>
      </c>
      <c r="B22" s="1">
        <v>150</v>
      </c>
      <c r="C22" s="1">
        <v>1200</v>
      </c>
      <c r="D22" s="1"/>
      <c r="E22" s="1"/>
      <c r="F22" s="1"/>
      <c r="G22" s="1"/>
      <c r="H22" s="10"/>
      <c r="I22" s="10"/>
      <c r="J22" s="10"/>
    </row>
    <row r="23" spans="1:16" x14ac:dyDescent="0.45">
      <c r="A23" s="1" t="s">
        <v>27</v>
      </c>
      <c r="B23" s="1">
        <v>250</v>
      </c>
      <c r="C23" s="1">
        <v>1500</v>
      </c>
      <c r="D23" s="1"/>
      <c r="E23" s="1"/>
      <c r="F23" s="1"/>
      <c r="G23" s="1"/>
      <c r="H23" s="10"/>
      <c r="I23" s="10"/>
      <c r="J23" s="10"/>
    </row>
    <row r="24" spans="1:16" x14ac:dyDescent="0.45">
      <c r="A24" s="10"/>
      <c r="B24" s="10"/>
      <c r="C24" s="10"/>
      <c r="H24" s="10"/>
      <c r="I24" s="10"/>
      <c r="J24" s="10"/>
    </row>
    <row r="25" spans="1:16" x14ac:dyDescent="0.45">
      <c r="D25" s="13" t="s">
        <v>31</v>
      </c>
      <c r="E25" s="13" t="s">
        <v>32</v>
      </c>
      <c r="F25" s="13" t="s">
        <v>33</v>
      </c>
      <c r="G25" s="12"/>
    </row>
    <row r="26" spans="1:16" x14ac:dyDescent="0.45">
      <c r="A26" s="15" t="s">
        <v>28</v>
      </c>
      <c r="B26" s="15" t="s">
        <v>29</v>
      </c>
      <c r="C26" s="15" t="s">
        <v>30</v>
      </c>
      <c r="D26" s="16" t="s">
        <v>37</v>
      </c>
      <c r="E26" s="16">
        <v>10</v>
      </c>
      <c r="F26" s="16">
        <v>50</v>
      </c>
      <c r="G26" s="17" t="s">
        <v>31</v>
      </c>
      <c r="H26" s="15" t="s">
        <v>32</v>
      </c>
      <c r="I26" s="15" t="s">
        <v>33</v>
      </c>
      <c r="J26" s="15" t="s">
        <v>34</v>
      </c>
      <c r="K26" s="18" t="s">
        <v>121</v>
      </c>
      <c r="L26" s="12"/>
    </row>
    <row r="27" spans="1:16" ht="14.25" customHeight="1" x14ac:dyDescent="0.45">
      <c r="A27" s="8">
        <v>1001</v>
      </c>
      <c r="B27" s="8" t="s">
        <v>35</v>
      </c>
      <c r="C27" s="8" t="s">
        <v>36</v>
      </c>
      <c r="D27" s="8" t="s">
        <v>40</v>
      </c>
      <c r="E27" s="8">
        <v>20</v>
      </c>
      <c r="F27" s="8">
        <v>10</v>
      </c>
      <c r="G27" s="11" t="s">
        <v>37</v>
      </c>
      <c r="H27" s="8">
        <v>10</v>
      </c>
      <c r="I27" s="8">
        <v>50</v>
      </c>
      <c r="J27" s="9">
        <v>45413</v>
      </c>
      <c r="K27" s="14">
        <f t="shared" ref="K27:K58" si="0">H27*I27</f>
        <v>500</v>
      </c>
      <c r="M27" s="19" t="s">
        <v>132</v>
      </c>
      <c r="N27" s="19"/>
      <c r="O27" s="19"/>
      <c r="P27" s="19"/>
    </row>
    <row r="28" spans="1:16" x14ac:dyDescent="0.45">
      <c r="A28" s="8">
        <v>1002</v>
      </c>
      <c r="B28" s="8" t="s">
        <v>38</v>
      </c>
      <c r="C28" s="8" t="s">
        <v>39</v>
      </c>
      <c r="D28" s="8" t="s">
        <v>43</v>
      </c>
      <c r="E28" s="8">
        <v>15</v>
      </c>
      <c r="F28" s="8">
        <v>25</v>
      </c>
      <c r="G28" s="11" t="s">
        <v>40</v>
      </c>
      <c r="H28" s="8">
        <v>20</v>
      </c>
      <c r="I28" s="8">
        <v>10</v>
      </c>
      <c r="J28" s="9">
        <v>45444</v>
      </c>
      <c r="K28" s="14">
        <f t="shared" si="0"/>
        <v>200</v>
      </c>
      <c r="M28" s="19"/>
      <c r="N28" s="19"/>
      <c r="O28" s="19"/>
      <c r="P28" s="19"/>
    </row>
    <row r="29" spans="1:16" x14ac:dyDescent="0.45">
      <c r="A29" s="8">
        <v>1003</v>
      </c>
      <c r="B29" s="8" t="s">
        <v>41</v>
      </c>
      <c r="C29" s="8" t="s">
        <v>42</v>
      </c>
      <c r="D29" s="8" t="s">
        <v>37</v>
      </c>
      <c r="E29" s="8">
        <v>5</v>
      </c>
      <c r="F29" s="8">
        <v>50</v>
      </c>
      <c r="G29" s="11" t="s">
        <v>43</v>
      </c>
      <c r="H29" s="8">
        <v>15</v>
      </c>
      <c r="I29" s="8">
        <v>25</v>
      </c>
      <c r="J29" s="9">
        <v>45474</v>
      </c>
      <c r="K29" s="14">
        <f t="shared" si="0"/>
        <v>375</v>
      </c>
      <c r="M29" s="41">
        <f>COUNTA(B27:B76)</f>
        <v>50</v>
      </c>
      <c r="N29" s="42"/>
      <c r="O29" s="42"/>
      <c r="P29" s="43"/>
    </row>
    <row r="30" spans="1:16" x14ac:dyDescent="0.45">
      <c r="A30" s="8">
        <v>1004</v>
      </c>
      <c r="B30" s="8" t="s">
        <v>44</v>
      </c>
      <c r="C30" s="8" t="s">
        <v>45</v>
      </c>
      <c r="D30" s="8" t="s">
        <v>47</v>
      </c>
      <c r="E30" s="8">
        <v>30</v>
      </c>
      <c r="F30" s="8">
        <v>5</v>
      </c>
      <c r="G30" s="11" t="s">
        <v>37</v>
      </c>
      <c r="H30" s="8">
        <v>5</v>
      </c>
      <c r="I30" s="8">
        <v>50</v>
      </c>
      <c r="J30" s="9">
        <v>45505</v>
      </c>
      <c r="K30" s="14">
        <f t="shared" si="0"/>
        <v>250</v>
      </c>
    </row>
    <row r="31" spans="1:16" ht="14.25" customHeight="1" x14ac:dyDescent="0.45">
      <c r="A31" s="8">
        <v>1005</v>
      </c>
      <c r="B31" s="8" t="s">
        <v>46</v>
      </c>
      <c r="C31" s="8" t="s">
        <v>36</v>
      </c>
      <c r="D31" s="8" t="s">
        <v>37</v>
      </c>
      <c r="E31" s="8">
        <v>12</v>
      </c>
      <c r="F31" s="8">
        <v>50</v>
      </c>
      <c r="G31" s="11" t="s">
        <v>47</v>
      </c>
      <c r="H31" s="8">
        <v>30</v>
      </c>
      <c r="I31" s="8">
        <v>5</v>
      </c>
      <c r="J31" s="9">
        <v>45566</v>
      </c>
      <c r="K31" s="14">
        <f t="shared" si="0"/>
        <v>150</v>
      </c>
    </row>
    <row r="32" spans="1:16" x14ac:dyDescent="0.45">
      <c r="A32" s="8">
        <v>1006</v>
      </c>
      <c r="B32" s="8" t="s">
        <v>48</v>
      </c>
      <c r="C32" s="8" t="s">
        <v>39</v>
      </c>
      <c r="D32" s="8" t="s">
        <v>50</v>
      </c>
      <c r="E32" s="8">
        <v>25</v>
      </c>
      <c r="F32" s="8">
        <v>8</v>
      </c>
      <c r="G32" s="11" t="s">
        <v>37</v>
      </c>
      <c r="H32" s="8">
        <v>12</v>
      </c>
      <c r="I32" s="8">
        <v>50</v>
      </c>
      <c r="J32" s="9">
        <v>45597</v>
      </c>
      <c r="K32" s="14">
        <f t="shared" si="0"/>
        <v>600</v>
      </c>
      <c r="M32" s="19" t="s">
        <v>120</v>
      </c>
      <c r="N32" s="19"/>
      <c r="O32" s="19"/>
      <c r="P32" s="19"/>
    </row>
    <row r="33" spans="1:16" x14ac:dyDescent="0.45">
      <c r="A33" s="8">
        <v>1007</v>
      </c>
      <c r="B33" s="8" t="s">
        <v>49</v>
      </c>
      <c r="C33" s="8" t="s">
        <v>42</v>
      </c>
      <c r="D33" s="8" t="s">
        <v>40</v>
      </c>
      <c r="E33" s="8">
        <v>18</v>
      </c>
      <c r="F33" s="8">
        <v>10</v>
      </c>
      <c r="G33" s="11" t="s">
        <v>50</v>
      </c>
      <c r="H33" s="8">
        <v>25</v>
      </c>
      <c r="I33" s="8">
        <v>8</v>
      </c>
      <c r="J33" s="8" t="s">
        <v>51</v>
      </c>
      <c r="K33" s="14">
        <f t="shared" si="0"/>
        <v>200</v>
      </c>
      <c r="M33" s="19"/>
      <c r="N33" s="19"/>
      <c r="O33" s="19"/>
      <c r="P33" s="19"/>
    </row>
    <row r="34" spans="1:16" x14ac:dyDescent="0.45">
      <c r="A34" s="8">
        <v>1008</v>
      </c>
      <c r="B34" s="8" t="s">
        <v>52</v>
      </c>
      <c r="C34" s="8" t="s">
        <v>45</v>
      </c>
      <c r="D34" s="8" t="s">
        <v>43</v>
      </c>
      <c r="E34" s="8">
        <v>22</v>
      </c>
      <c r="F34" s="8">
        <v>25</v>
      </c>
      <c r="G34" s="11" t="s">
        <v>40</v>
      </c>
      <c r="H34" s="8">
        <v>18</v>
      </c>
      <c r="I34" s="8">
        <v>10</v>
      </c>
      <c r="J34" s="8" t="s">
        <v>53</v>
      </c>
      <c r="K34" s="14">
        <f t="shared" si="0"/>
        <v>180</v>
      </c>
      <c r="M34" s="21" t="s">
        <v>122</v>
      </c>
      <c r="N34" s="21"/>
      <c r="O34" s="21"/>
      <c r="P34" s="21"/>
    </row>
    <row r="35" spans="1:16" x14ac:dyDescent="0.45">
      <c r="A35" s="8">
        <v>1009</v>
      </c>
      <c r="B35" s="8" t="s">
        <v>54</v>
      </c>
      <c r="C35" s="8" t="s">
        <v>36</v>
      </c>
      <c r="D35" s="8" t="s">
        <v>37</v>
      </c>
      <c r="E35" s="8">
        <v>8</v>
      </c>
      <c r="F35" s="8">
        <v>50</v>
      </c>
      <c r="G35" s="11" t="s">
        <v>43</v>
      </c>
      <c r="H35" s="8">
        <v>22</v>
      </c>
      <c r="I35" s="8">
        <v>25</v>
      </c>
      <c r="J35" s="8" t="s">
        <v>55</v>
      </c>
      <c r="K35" s="14">
        <f t="shared" si="0"/>
        <v>550</v>
      </c>
    </row>
    <row r="36" spans="1:16" x14ac:dyDescent="0.45">
      <c r="A36" s="8">
        <v>1010</v>
      </c>
      <c r="B36" s="8" t="s">
        <v>56</v>
      </c>
      <c r="C36" s="8" t="s">
        <v>39</v>
      </c>
      <c r="D36" s="8" t="s">
        <v>47</v>
      </c>
      <c r="E36" s="8">
        <v>40</v>
      </c>
      <c r="F36" s="8">
        <v>5</v>
      </c>
      <c r="G36" s="11" t="s">
        <v>37</v>
      </c>
      <c r="H36" s="8">
        <v>8</v>
      </c>
      <c r="I36" s="8">
        <v>50</v>
      </c>
      <c r="J36" s="8" t="s">
        <v>57</v>
      </c>
      <c r="K36" s="14">
        <f t="shared" si="0"/>
        <v>400</v>
      </c>
    </row>
    <row r="37" spans="1:16" x14ac:dyDescent="0.45">
      <c r="A37" s="8">
        <v>1011</v>
      </c>
      <c r="B37" s="8" t="s">
        <v>58</v>
      </c>
      <c r="C37" s="8" t="s">
        <v>42</v>
      </c>
      <c r="D37" s="8" t="s">
        <v>50</v>
      </c>
      <c r="E37" s="8">
        <v>35</v>
      </c>
      <c r="F37" s="8">
        <v>8</v>
      </c>
      <c r="G37" s="11" t="s">
        <v>47</v>
      </c>
      <c r="H37" s="8">
        <v>40</v>
      </c>
      <c r="I37" s="8">
        <v>5</v>
      </c>
      <c r="J37" s="8" t="s">
        <v>59</v>
      </c>
      <c r="K37" s="14">
        <f t="shared" si="0"/>
        <v>200</v>
      </c>
      <c r="M37" s="19" t="s">
        <v>123</v>
      </c>
      <c r="N37" s="19"/>
      <c r="O37" s="19"/>
      <c r="P37" s="19"/>
    </row>
    <row r="38" spans="1:16" x14ac:dyDescent="0.45">
      <c r="A38" s="8">
        <v>1012</v>
      </c>
      <c r="B38" s="8" t="s">
        <v>60</v>
      </c>
      <c r="C38" s="8" t="s">
        <v>45</v>
      </c>
      <c r="D38" s="8" t="s">
        <v>37</v>
      </c>
      <c r="E38" s="8">
        <v>14</v>
      </c>
      <c r="F38" s="8">
        <v>50</v>
      </c>
      <c r="G38" s="11" t="s">
        <v>50</v>
      </c>
      <c r="H38" s="8">
        <v>35</v>
      </c>
      <c r="I38" s="8">
        <v>8</v>
      </c>
      <c r="J38" s="8" t="s">
        <v>61</v>
      </c>
      <c r="K38" s="14">
        <f t="shared" si="0"/>
        <v>280</v>
      </c>
      <c r="M38" s="19"/>
      <c r="N38" s="19"/>
      <c r="O38" s="19"/>
      <c r="P38" s="19"/>
    </row>
    <row r="39" spans="1:16" x14ac:dyDescent="0.45">
      <c r="A39" s="8">
        <v>1013</v>
      </c>
      <c r="B39" s="8" t="s">
        <v>62</v>
      </c>
      <c r="C39" s="8" t="s">
        <v>36</v>
      </c>
      <c r="D39" s="8" t="s">
        <v>40</v>
      </c>
      <c r="E39" s="8">
        <v>28</v>
      </c>
      <c r="F39" s="8">
        <v>10</v>
      </c>
      <c r="G39" s="11" t="s">
        <v>37</v>
      </c>
      <c r="H39" s="8">
        <v>14</v>
      </c>
      <c r="I39" s="8">
        <v>50</v>
      </c>
      <c r="J39" s="8" t="s">
        <v>63</v>
      </c>
      <c r="K39" s="14">
        <f t="shared" si="0"/>
        <v>700</v>
      </c>
      <c r="M39" s="21">
        <f>SUMIFS(K27:K76, G27:G76, "Notebook",C27:C76, "North")</f>
        <v>2900</v>
      </c>
      <c r="N39" s="21"/>
      <c r="O39" s="21"/>
      <c r="P39" s="21"/>
    </row>
    <row r="40" spans="1:16" x14ac:dyDescent="0.45">
      <c r="A40" s="8">
        <v>1014</v>
      </c>
      <c r="B40" s="8" t="s">
        <v>64</v>
      </c>
      <c r="C40" s="8" t="s">
        <v>39</v>
      </c>
      <c r="D40" s="8" t="s">
        <v>43</v>
      </c>
      <c r="E40" s="8">
        <v>12</v>
      </c>
      <c r="F40" s="8">
        <v>25</v>
      </c>
      <c r="G40" s="11" t="s">
        <v>40</v>
      </c>
      <c r="H40" s="8">
        <v>28</v>
      </c>
      <c r="I40" s="8">
        <v>10</v>
      </c>
      <c r="J40" s="8" t="s">
        <v>65</v>
      </c>
      <c r="K40" s="14">
        <f t="shared" si="0"/>
        <v>280</v>
      </c>
    </row>
    <row r="41" spans="1:16" x14ac:dyDescent="0.45">
      <c r="A41" s="8">
        <v>1015</v>
      </c>
      <c r="B41" s="8" t="s">
        <v>66</v>
      </c>
      <c r="C41" s="8" t="s">
        <v>42</v>
      </c>
      <c r="D41" s="8" t="s">
        <v>47</v>
      </c>
      <c r="E41" s="8">
        <v>25</v>
      </c>
      <c r="F41" s="8">
        <v>5</v>
      </c>
      <c r="G41" s="11" t="s">
        <v>43</v>
      </c>
      <c r="H41" s="8">
        <v>12</v>
      </c>
      <c r="I41" s="8">
        <v>25</v>
      </c>
      <c r="J41" s="8" t="s">
        <v>67</v>
      </c>
      <c r="K41" s="14">
        <f t="shared" si="0"/>
        <v>300</v>
      </c>
    </row>
    <row r="42" spans="1:16" x14ac:dyDescent="0.45">
      <c r="A42" s="8">
        <v>1016</v>
      </c>
      <c r="B42" s="8" t="s">
        <v>68</v>
      </c>
      <c r="C42" s="8" t="s">
        <v>45</v>
      </c>
      <c r="D42" s="8" t="s">
        <v>50</v>
      </c>
      <c r="E42" s="8">
        <v>20</v>
      </c>
      <c r="F42" s="8">
        <v>8</v>
      </c>
      <c r="G42" s="11" t="s">
        <v>47</v>
      </c>
      <c r="H42" s="8">
        <v>25</v>
      </c>
      <c r="I42" s="8">
        <v>5</v>
      </c>
      <c r="J42" s="8" t="s">
        <v>69</v>
      </c>
      <c r="K42" s="14">
        <f t="shared" si="0"/>
        <v>125</v>
      </c>
      <c r="M42" s="19" t="s">
        <v>124</v>
      </c>
      <c r="N42" s="19"/>
      <c r="O42" s="19"/>
      <c r="P42" s="19"/>
    </row>
    <row r="43" spans="1:16" x14ac:dyDescent="0.45">
      <c r="A43" s="8">
        <v>1017</v>
      </c>
      <c r="B43" s="8" t="s">
        <v>70</v>
      </c>
      <c r="C43" s="8" t="s">
        <v>36</v>
      </c>
      <c r="D43" s="8" t="s">
        <v>37</v>
      </c>
      <c r="E43" s="8">
        <v>10</v>
      </c>
      <c r="F43" s="8">
        <v>50</v>
      </c>
      <c r="G43" s="11" t="s">
        <v>50</v>
      </c>
      <c r="H43" s="8">
        <v>20</v>
      </c>
      <c r="I43" s="8">
        <v>8</v>
      </c>
      <c r="J43" s="8" t="s">
        <v>71</v>
      </c>
      <c r="K43" s="14">
        <f t="shared" si="0"/>
        <v>160</v>
      </c>
      <c r="M43" s="19"/>
      <c r="N43" s="19"/>
      <c r="O43" s="19"/>
      <c r="P43" s="19"/>
    </row>
    <row r="44" spans="1:16" x14ac:dyDescent="0.45">
      <c r="A44" s="8">
        <v>1018</v>
      </c>
      <c r="B44" s="8" t="s">
        <v>72</v>
      </c>
      <c r="C44" s="8" t="s">
        <v>39</v>
      </c>
      <c r="D44" s="8" t="s">
        <v>40</v>
      </c>
      <c r="E44" s="8">
        <v>15</v>
      </c>
      <c r="F44" s="8">
        <v>10</v>
      </c>
      <c r="G44" s="11" t="s">
        <v>37</v>
      </c>
      <c r="H44" s="8">
        <v>10</v>
      </c>
      <c r="I44" s="8">
        <v>50</v>
      </c>
      <c r="J44" s="8" t="s">
        <v>73</v>
      </c>
      <c r="K44" s="14">
        <f t="shared" si="0"/>
        <v>500</v>
      </c>
      <c r="M44" s="6" t="s">
        <v>125</v>
      </c>
      <c r="N44" s="6" t="s">
        <v>122</v>
      </c>
      <c r="O44" s="2"/>
      <c r="P44" s="2"/>
    </row>
    <row r="45" spans="1:16" x14ac:dyDescent="0.45">
      <c r="A45" s="8">
        <v>1019</v>
      </c>
      <c r="B45" s="8" t="s">
        <v>74</v>
      </c>
      <c r="C45" s="8" t="s">
        <v>42</v>
      </c>
      <c r="D45" s="8" t="s">
        <v>43</v>
      </c>
      <c r="E45" s="8">
        <v>18</v>
      </c>
      <c r="F45" s="8">
        <v>25</v>
      </c>
      <c r="G45" s="11" t="s">
        <v>40</v>
      </c>
      <c r="H45" s="8">
        <v>15</v>
      </c>
      <c r="I45" s="8">
        <v>10</v>
      </c>
      <c r="J45" s="8" t="s">
        <v>75</v>
      </c>
      <c r="K45" s="14">
        <f t="shared" si="0"/>
        <v>150</v>
      </c>
      <c r="M45" s="2" t="s">
        <v>126</v>
      </c>
      <c r="N45" s="2">
        <f>SUMIF(G27:G76,"Notebook",K27:K76)</f>
        <v>7550</v>
      </c>
      <c r="O45" s="2"/>
      <c r="P45" s="2"/>
    </row>
    <row r="46" spans="1:16" x14ac:dyDescent="0.45">
      <c r="A46" s="8">
        <v>1020</v>
      </c>
      <c r="B46" s="8" t="s">
        <v>76</v>
      </c>
      <c r="C46" s="8" t="s">
        <v>45</v>
      </c>
      <c r="D46" s="8" t="s">
        <v>37</v>
      </c>
      <c r="E46" s="8">
        <v>9</v>
      </c>
      <c r="F46" s="8">
        <v>50</v>
      </c>
      <c r="G46" s="11" t="s">
        <v>43</v>
      </c>
      <c r="H46" s="8">
        <v>18</v>
      </c>
      <c r="I46" s="8">
        <v>25</v>
      </c>
      <c r="J46" s="9">
        <v>45293</v>
      </c>
      <c r="K46" s="14">
        <f t="shared" si="0"/>
        <v>450</v>
      </c>
      <c r="M46" s="2" t="s">
        <v>128</v>
      </c>
      <c r="N46" s="2">
        <f>SUMIF(G27:G76,"Pen",K27:K76)</f>
        <v>2180</v>
      </c>
      <c r="O46" s="2"/>
      <c r="P46" s="2"/>
    </row>
    <row r="47" spans="1:16" x14ac:dyDescent="0.45">
      <c r="A47" s="8">
        <v>1021</v>
      </c>
      <c r="B47" s="8" t="s">
        <v>77</v>
      </c>
      <c r="C47" s="8" t="s">
        <v>36</v>
      </c>
      <c r="D47" s="8" t="s">
        <v>47</v>
      </c>
      <c r="E47" s="8">
        <v>35</v>
      </c>
      <c r="F47" s="8">
        <v>5</v>
      </c>
      <c r="G47" s="11" t="s">
        <v>37</v>
      </c>
      <c r="H47" s="8">
        <v>9</v>
      </c>
      <c r="I47" s="8">
        <v>50</v>
      </c>
      <c r="J47" s="9">
        <v>45324</v>
      </c>
      <c r="K47" s="14">
        <f t="shared" si="0"/>
        <v>450</v>
      </c>
      <c r="M47" s="2" t="s">
        <v>127</v>
      </c>
      <c r="N47" s="2">
        <f>SUMIF(G27:G76,"Marker",K27:K76)</f>
        <v>3650</v>
      </c>
      <c r="O47" s="2"/>
      <c r="P47" s="2"/>
    </row>
    <row r="48" spans="1:16" x14ac:dyDescent="0.45">
      <c r="A48" s="8">
        <v>1022</v>
      </c>
      <c r="B48" s="8" t="s">
        <v>78</v>
      </c>
      <c r="C48" s="8" t="s">
        <v>39</v>
      </c>
      <c r="D48" s="8" t="s">
        <v>50</v>
      </c>
      <c r="E48" s="8">
        <v>30</v>
      </c>
      <c r="F48" s="8">
        <v>8</v>
      </c>
      <c r="G48" s="11" t="s">
        <v>47</v>
      </c>
      <c r="H48" s="8">
        <v>35</v>
      </c>
      <c r="I48" s="8">
        <v>5</v>
      </c>
      <c r="J48" s="9">
        <v>45353</v>
      </c>
      <c r="K48" s="14">
        <f t="shared" si="0"/>
        <v>175</v>
      </c>
      <c r="M48" s="2" t="s">
        <v>129</v>
      </c>
      <c r="N48" s="2">
        <f>SUMIF(G27:G76,"Pencil",K27:K76)</f>
        <v>1235</v>
      </c>
      <c r="O48" s="2"/>
      <c r="P48" s="2"/>
    </row>
    <row r="49" spans="1:16" x14ac:dyDescent="0.45">
      <c r="A49" s="8">
        <v>1023</v>
      </c>
      <c r="B49" s="8" t="s">
        <v>79</v>
      </c>
      <c r="C49" s="8" t="s">
        <v>42</v>
      </c>
      <c r="D49" s="8" t="s">
        <v>37</v>
      </c>
      <c r="E49" s="8">
        <v>11</v>
      </c>
      <c r="F49" s="8">
        <v>50</v>
      </c>
      <c r="G49" s="11" t="s">
        <v>50</v>
      </c>
      <c r="H49" s="8">
        <v>30</v>
      </c>
      <c r="I49" s="8">
        <v>8</v>
      </c>
      <c r="J49" s="9">
        <v>45384</v>
      </c>
      <c r="K49" s="14">
        <f t="shared" si="0"/>
        <v>240</v>
      </c>
      <c r="M49" s="2" t="s">
        <v>130</v>
      </c>
      <c r="N49" s="2">
        <f>SUMIF(G27:G76,"Eraser",K27:K76)</f>
        <v>1928</v>
      </c>
      <c r="O49" s="2"/>
      <c r="P49" s="2"/>
    </row>
    <row r="50" spans="1:16" x14ac:dyDescent="0.45">
      <c r="A50" s="8">
        <v>1024</v>
      </c>
      <c r="B50" s="8" t="s">
        <v>80</v>
      </c>
      <c r="C50" s="8" t="s">
        <v>45</v>
      </c>
      <c r="D50" s="8" t="s">
        <v>40</v>
      </c>
      <c r="E50" s="8">
        <v>14</v>
      </c>
      <c r="F50" s="8">
        <v>10</v>
      </c>
      <c r="G50" s="11" t="s">
        <v>37</v>
      </c>
      <c r="H50" s="8">
        <v>11</v>
      </c>
      <c r="I50" s="8">
        <v>50</v>
      </c>
      <c r="J50" s="9">
        <v>45445</v>
      </c>
      <c r="K50" s="14">
        <f t="shared" si="0"/>
        <v>550</v>
      </c>
    </row>
    <row r="51" spans="1:16" x14ac:dyDescent="0.45">
      <c r="A51" s="8">
        <v>1025</v>
      </c>
      <c r="B51" s="8" t="s">
        <v>81</v>
      </c>
      <c r="C51" s="8" t="s">
        <v>36</v>
      </c>
      <c r="D51" s="8" t="s">
        <v>43</v>
      </c>
      <c r="E51" s="8">
        <v>16</v>
      </c>
      <c r="F51" s="8">
        <v>25</v>
      </c>
      <c r="G51" s="11" t="s">
        <v>40</v>
      </c>
      <c r="H51" s="8">
        <v>14</v>
      </c>
      <c r="I51" s="8">
        <v>10</v>
      </c>
      <c r="J51" s="9">
        <v>45475</v>
      </c>
      <c r="K51" s="14">
        <f t="shared" si="0"/>
        <v>140</v>
      </c>
    </row>
    <row r="52" spans="1:16" x14ac:dyDescent="0.45">
      <c r="A52" s="8">
        <v>1026</v>
      </c>
      <c r="B52" s="8" t="s">
        <v>82</v>
      </c>
      <c r="C52" s="8" t="s">
        <v>39</v>
      </c>
      <c r="D52" s="8" t="s">
        <v>47</v>
      </c>
      <c r="E52" s="8">
        <v>22</v>
      </c>
      <c r="F52" s="8">
        <v>5</v>
      </c>
      <c r="G52" s="11" t="s">
        <v>43</v>
      </c>
      <c r="H52" s="8">
        <v>16</v>
      </c>
      <c r="I52" s="8">
        <v>25</v>
      </c>
      <c r="J52" s="9">
        <v>45506</v>
      </c>
      <c r="K52" s="14">
        <f t="shared" si="0"/>
        <v>400</v>
      </c>
    </row>
    <row r="53" spans="1:16" x14ac:dyDescent="0.45">
      <c r="A53" s="8">
        <v>1027</v>
      </c>
      <c r="B53" s="8" t="s">
        <v>83</v>
      </c>
      <c r="C53" s="8" t="s">
        <v>42</v>
      </c>
      <c r="D53" s="8" t="s">
        <v>50</v>
      </c>
      <c r="E53" s="8">
        <v>27</v>
      </c>
      <c r="F53" s="8">
        <v>8</v>
      </c>
      <c r="G53" s="11" t="s">
        <v>47</v>
      </c>
      <c r="H53" s="8">
        <v>22</v>
      </c>
      <c r="I53" s="8">
        <v>5</v>
      </c>
      <c r="J53" s="9">
        <v>45537</v>
      </c>
      <c r="K53" s="14">
        <f t="shared" si="0"/>
        <v>110</v>
      </c>
      <c r="M53" s="20" t="s">
        <v>131</v>
      </c>
      <c r="N53" s="20"/>
      <c r="O53" s="20"/>
      <c r="P53" s="20"/>
    </row>
    <row r="54" spans="1:16" x14ac:dyDescent="0.45">
      <c r="A54" s="8">
        <v>1028</v>
      </c>
      <c r="B54" s="8" t="s">
        <v>84</v>
      </c>
      <c r="C54" s="8" t="s">
        <v>45</v>
      </c>
      <c r="D54" s="8" t="s">
        <v>37</v>
      </c>
      <c r="E54" s="8">
        <v>13</v>
      </c>
      <c r="F54" s="8">
        <v>50</v>
      </c>
      <c r="G54" s="11" t="s">
        <v>50</v>
      </c>
      <c r="H54" s="8">
        <v>27</v>
      </c>
      <c r="I54" s="8">
        <v>8</v>
      </c>
      <c r="J54" s="9">
        <v>45567</v>
      </c>
      <c r="K54" s="14">
        <f t="shared" si="0"/>
        <v>216</v>
      </c>
      <c r="M54" s="20"/>
      <c r="N54" s="20"/>
      <c r="O54" s="20"/>
      <c r="P54" s="20"/>
    </row>
    <row r="55" spans="1:16" x14ac:dyDescent="0.45">
      <c r="A55" s="8">
        <v>1029</v>
      </c>
      <c r="B55" s="8" t="s">
        <v>85</v>
      </c>
      <c r="C55" s="8" t="s">
        <v>36</v>
      </c>
      <c r="D55" s="8" t="s">
        <v>40</v>
      </c>
      <c r="E55" s="8">
        <v>32</v>
      </c>
      <c r="F55" s="8">
        <v>10</v>
      </c>
      <c r="G55" s="11" t="s">
        <v>37</v>
      </c>
      <c r="H55" s="8">
        <v>13</v>
      </c>
      <c r="I55" s="8">
        <v>50</v>
      </c>
      <c r="J55" s="9">
        <v>45628</v>
      </c>
      <c r="K55" s="14">
        <f t="shared" si="0"/>
        <v>650</v>
      </c>
      <c r="M55" s="5"/>
      <c r="N55" s="5"/>
    </row>
    <row r="56" spans="1:16" x14ac:dyDescent="0.45">
      <c r="A56" s="8">
        <v>1030</v>
      </c>
      <c r="B56" s="8" t="s">
        <v>86</v>
      </c>
      <c r="C56" s="8" t="s">
        <v>39</v>
      </c>
      <c r="D56" s="8" t="s">
        <v>43</v>
      </c>
      <c r="E56" s="8">
        <v>10</v>
      </c>
      <c r="F56" s="8">
        <v>25</v>
      </c>
      <c r="G56" s="11" t="s">
        <v>40</v>
      </c>
      <c r="H56" s="8">
        <v>32</v>
      </c>
      <c r="I56" s="8">
        <v>10</v>
      </c>
      <c r="J56" s="8" t="s">
        <v>87</v>
      </c>
      <c r="K56" s="14">
        <f t="shared" si="0"/>
        <v>320</v>
      </c>
    </row>
    <row r="57" spans="1:16" x14ac:dyDescent="0.45">
      <c r="A57" s="8">
        <v>1031</v>
      </c>
      <c r="B57" s="8" t="s">
        <v>88</v>
      </c>
      <c r="C57" s="8" t="s">
        <v>42</v>
      </c>
      <c r="D57" s="8" t="s">
        <v>47</v>
      </c>
      <c r="E57" s="8">
        <v>18</v>
      </c>
      <c r="F57" s="8">
        <v>5</v>
      </c>
      <c r="G57" s="11" t="s">
        <v>43</v>
      </c>
      <c r="H57" s="8">
        <v>10</v>
      </c>
      <c r="I57" s="8">
        <v>25</v>
      </c>
      <c r="J57" s="8" t="s">
        <v>89</v>
      </c>
      <c r="K57" s="14">
        <f t="shared" si="0"/>
        <v>250</v>
      </c>
    </row>
    <row r="58" spans="1:16" x14ac:dyDescent="0.45">
      <c r="A58" s="8">
        <v>1032</v>
      </c>
      <c r="B58" s="8" t="s">
        <v>90</v>
      </c>
      <c r="C58" s="8" t="s">
        <v>45</v>
      </c>
      <c r="D58" s="8" t="s">
        <v>50</v>
      </c>
      <c r="E58" s="8">
        <v>22</v>
      </c>
      <c r="F58" s="8">
        <v>8</v>
      </c>
      <c r="G58" s="11" t="s">
        <v>47</v>
      </c>
      <c r="H58" s="8">
        <v>18</v>
      </c>
      <c r="I58" s="8">
        <v>5</v>
      </c>
      <c r="J58" s="8" t="s">
        <v>91</v>
      </c>
      <c r="K58" s="14">
        <f t="shared" si="0"/>
        <v>90</v>
      </c>
    </row>
    <row r="59" spans="1:16" x14ac:dyDescent="0.45">
      <c r="A59" s="8">
        <v>1033</v>
      </c>
      <c r="B59" s="8" t="s">
        <v>92</v>
      </c>
      <c r="C59" s="8" t="s">
        <v>36</v>
      </c>
      <c r="D59" s="8" t="s">
        <v>37</v>
      </c>
      <c r="E59" s="8">
        <v>17</v>
      </c>
      <c r="F59" s="8">
        <v>50</v>
      </c>
      <c r="G59" s="11" t="s">
        <v>50</v>
      </c>
      <c r="H59" s="8">
        <v>22</v>
      </c>
      <c r="I59" s="8">
        <v>8</v>
      </c>
      <c r="J59" s="8" t="s">
        <v>93</v>
      </c>
      <c r="K59" s="14">
        <f t="shared" ref="K59:K76" si="1">H59*I59</f>
        <v>176</v>
      </c>
    </row>
    <row r="60" spans="1:16" x14ac:dyDescent="0.45">
      <c r="A60" s="8">
        <v>1034</v>
      </c>
      <c r="B60" s="8" t="s">
        <v>94</v>
      </c>
      <c r="C60" s="8" t="s">
        <v>39</v>
      </c>
      <c r="D60" s="8" t="s">
        <v>40</v>
      </c>
      <c r="E60" s="8">
        <v>19</v>
      </c>
      <c r="F60" s="8">
        <v>10</v>
      </c>
      <c r="G60" s="11" t="s">
        <v>37</v>
      </c>
      <c r="H60" s="8">
        <v>17</v>
      </c>
      <c r="I60" s="8">
        <v>50</v>
      </c>
      <c r="J60" s="8" t="s">
        <v>95</v>
      </c>
      <c r="K60" s="14">
        <f t="shared" si="1"/>
        <v>850</v>
      </c>
    </row>
    <row r="61" spans="1:16" x14ac:dyDescent="0.45">
      <c r="A61" s="8">
        <v>1035</v>
      </c>
      <c r="B61" s="8" t="s">
        <v>96</v>
      </c>
      <c r="C61" s="8" t="s">
        <v>42</v>
      </c>
      <c r="D61" s="8" t="s">
        <v>43</v>
      </c>
      <c r="E61" s="8">
        <v>15</v>
      </c>
      <c r="F61" s="8">
        <v>25</v>
      </c>
      <c r="G61" s="11" t="s">
        <v>40</v>
      </c>
      <c r="H61" s="8">
        <v>19</v>
      </c>
      <c r="I61" s="8">
        <v>10</v>
      </c>
      <c r="J61" s="8" t="s">
        <v>97</v>
      </c>
      <c r="K61" s="14">
        <f t="shared" si="1"/>
        <v>190</v>
      </c>
    </row>
    <row r="62" spans="1:16" x14ac:dyDescent="0.45">
      <c r="A62" s="8">
        <v>1036</v>
      </c>
      <c r="B62" s="8" t="s">
        <v>98</v>
      </c>
      <c r="C62" s="8" t="s">
        <v>45</v>
      </c>
      <c r="D62" s="8" t="s">
        <v>47</v>
      </c>
      <c r="E62" s="8">
        <v>28</v>
      </c>
      <c r="F62" s="8">
        <v>5</v>
      </c>
      <c r="G62" s="11" t="s">
        <v>43</v>
      </c>
      <c r="H62" s="8">
        <v>15</v>
      </c>
      <c r="I62" s="8">
        <v>25</v>
      </c>
      <c r="J62" s="8" t="s">
        <v>99</v>
      </c>
      <c r="K62" s="14">
        <f t="shared" si="1"/>
        <v>375</v>
      </c>
    </row>
    <row r="63" spans="1:16" x14ac:dyDescent="0.45">
      <c r="A63" s="8">
        <v>1037</v>
      </c>
      <c r="B63" s="8" t="s">
        <v>100</v>
      </c>
      <c r="C63" s="8" t="s">
        <v>36</v>
      </c>
      <c r="D63" s="8" t="s">
        <v>50</v>
      </c>
      <c r="E63" s="8">
        <v>24</v>
      </c>
      <c r="F63" s="8">
        <v>8</v>
      </c>
      <c r="G63" s="11" t="s">
        <v>47</v>
      </c>
      <c r="H63" s="8">
        <v>28</v>
      </c>
      <c r="I63" s="8">
        <v>5</v>
      </c>
      <c r="J63" s="8" t="s">
        <v>101</v>
      </c>
      <c r="K63" s="14">
        <f t="shared" si="1"/>
        <v>140</v>
      </c>
    </row>
    <row r="64" spans="1:16" x14ac:dyDescent="0.45">
      <c r="A64" s="8">
        <v>1038</v>
      </c>
      <c r="B64" s="8" t="s">
        <v>102</v>
      </c>
      <c r="C64" s="8" t="s">
        <v>39</v>
      </c>
      <c r="D64" s="8" t="s">
        <v>37</v>
      </c>
      <c r="E64" s="8">
        <v>16</v>
      </c>
      <c r="F64" s="8">
        <v>50</v>
      </c>
      <c r="G64" s="11" t="s">
        <v>50</v>
      </c>
      <c r="H64" s="8">
        <v>24</v>
      </c>
      <c r="I64" s="8">
        <v>8</v>
      </c>
      <c r="J64" s="8" t="s">
        <v>103</v>
      </c>
      <c r="K64" s="14">
        <f t="shared" si="1"/>
        <v>192</v>
      </c>
    </row>
    <row r="65" spans="1:11" x14ac:dyDescent="0.45">
      <c r="A65" s="8">
        <v>1039</v>
      </c>
      <c r="B65" s="8" t="s">
        <v>104</v>
      </c>
      <c r="C65" s="8" t="s">
        <v>42</v>
      </c>
      <c r="D65" s="8" t="s">
        <v>40</v>
      </c>
      <c r="E65" s="8">
        <v>27</v>
      </c>
      <c r="F65" s="8">
        <v>10</v>
      </c>
      <c r="G65" s="11" t="s">
        <v>37</v>
      </c>
      <c r="H65" s="8">
        <v>16</v>
      </c>
      <c r="I65" s="8">
        <v>50</v>
      </c>
      <c r="J65" s="8" t="s">
        <v>105</v>
      </c>
      <c r="K65" s="14">
        <f t="shared" si="1"/>
        <v>800</v>
      </c>
    </row>
    <row r="66" spans="1:11" x14ac:dyDescent="0.45">
      <c r="A66" s="8">
        <v>1040</v>
      </c>
      <c r="B66" s="8" t="s">
        <v>106</v>
      </c>
      <c r="C66" s="8" t="s">
        <v>45</v>
      </c>
      <c r="D66" s="8" t="s">
        <v>43</v>
      </c>
      <c r="E66" s="8">
        <v>21</v>
      </c>
      <c r="F66" s="8">
        <v>25</v>
      </c>
      <c r="G66" s="11" t="s">
        <v>40</v>
      </c>
      <c r="H66" s="8">
        <v>27</v>
      </c>
      <c r="I66" s="8">
        <v>10</v>
      </c>
      <c r="J66" s="8" t="s">
        <v>107</v>
      </c>
      <c r="K66" s="14">
        <f t="shared" si="1"/>
        <v>270</v>
      </c>
    </row>
    <row r="67" spans="1:11" x14ac:dyDescent="0.45">
      <c r="A67" s="8">
        <v>1041</v>
      </c>
      <c r="B67" s="8" t="s">
        <v>108</v>
      </c>
      <c r="C67" s="8" t="s">
        <v>36</v>
      </c>
      <c r="D67" s="8" t="s">
        <v>47</v>
      </c>
      <c r="E67" s="8">
        <v>30</v>
      </c>
      <c r="F67" s="8">
        <v>5</v>
      </c>
      <c r="G67" s="11" t="s">
        <v>43</v>
      </c>
      <c r="H67" s="8">
        <v>21</v>
      </c>
      <c r="I67" s="8">
        <v>25</v>
      </c>
      <c r="J67" s="8" t="s">
        <v>109</v>
      </c>
      <c r="K67" s="14">
        <f t="shared" si="1"/>
        <v>525</v>
      </c>
    </row>
    <row r="68" spans="1:11" x14ac:dyDescent="0.45">
      <c r="A68" s="8">
        <v>1042</v>
      </c>
      <c r="B68" s="8" t="s">
        <v>110</v>
      </c>
      <c r="C68" s="8" t="s">
        <v>39</v>
      </c>
      <c r="D68" s="8" t="s">
        <v>50</v>
      </c>
      <c r="E68" s="8">
        <v>26</v>
      </c>
      <c r="F68" s="8">
        <v>8</v>
      </c>
      <c r="G68" s="11" t="s">
        <v>47</v>
      </c>
      <c r="H68" s="8">
        <v>30</v>
      </c>
      <c r="I68" s="8">
        <v>5</v>
      </c>
      <c r="J68" s="8" t="s">
        <v>111</v>
      </c>
      <c r="K68" s="14">
        <f t="shared" si="1"/>
        <v>150</v>
      </c>
    </row>
    <row r="69" spans="1:11" x14ac:dyDescent="0.45">
      <c r="A69" s="8">
        <v>1043</v>
      </c>
      <c r="B69" s="8" t="s">
        <v>112</v>
      </c>
      <c r="C69" s="8" t="s">
        <v>42</v>
      </c>
      <c r="D69" s="8" t="s">
        <v>37</v>
      </c>
      <c r="E69" s="8">
        <v>14</v>
      </c>
      <c r="F69" s="8">
        <v>50</v>
      </c>
      <c r="G69" s="11" t="s">
        <v>50</v>
      </c>
      <c r="H69" s="8">
        <v>26</v>
      </c>
      <c r="I69" s="8">
        <v>8</v>
      </c>
      <c r="J69" s="9">
        <v>45294</v>
      </c>
      <c r="K69" s="14">
        <f t="shared" si="1"/>
        <v>208</v>
      </c>
    </row>
    <row r="70" spans="1:11" x14ac:dyDescent="0.45">
      <c r="A70" s="8">
        <v>1044</v>
      </c>
      <c r="B70" s="8" t="s">
        <v>113</v>
      </c>
      <c r="C70" s="8" t="s">
        <v>45</v>
      </c>
      <c r="D70" s="8" t="s">
        <v>40</v>
      </c>
      <c r="E70" s="8">
        <v>20</v>
      </c>
      <c r="F70" s="8">
        <v>10</v>
      </c>
      <c r="G70" s="11" t="s">
        <v>37</v>
      </c>
      <c r="H70" s="8">
        <v>14</v>
      </c>
      <c r="I70" s="8">
        <v>50</v>
      </c>
      <c r="J70" s="9">
        <v>45325</v>
      </c>
      <c r="K70" s="14">
        <f t="shared" si="1"/>
        <v>700</v>
      </c>
    </row>
    <row r="71" spans="1:11" x14ac:dyDescent="0.45">
      <c r="A71" s="8">
        <v>1045</v>
      </c>
      <c r="B71" s="8" t="s">
        <v>114</v>
      </c>
      <c r="C71" s="8" t="s">
        <v>36</v>
      </c>
      <c r="D71" s="8" t="s">
        <v>43</v>
      </c>
      <c r="E71" s="8">
        <v>17</v>
      </c>
      <c r="F71" s="8">
        <v>25</v>
      </c>
      <c r="G71" s="11" t="s">
        <v>40</v>
      </c>
      <c r="H71" s="8">
        <v>20</v>
      </c>
      <c r="I71" s="8">
        <v>10</v>
      </c>
      <c r="J71" s="9">
        <v>45354</v>
      </c>
      <c r="K71" s="14">
        <f t="shared" si="1"/>
        <v>200</v>
      </c>
    </row>
    <row r="72" spans="1:11" x14ac:dyDescent="0.45">
      <c r="A72" s="8">
        <v>1046</v>
      </c>
      <c r="B72" s="8" t="s">
        <v>115</v>
      </c>
      <c r="C72" s="8" t="s">
        <v>39</v>
      </c>
      <c r="D72" s="8" t="s">
        <v>47</v>
      </c>
      <c r="E72" s="8">
        <v>19</v>
      </c>
      <c r="F72" s="8">
        <v>5</v>
      </c>
      <c r="G72" s="11" t="s">
        <v>43</v>
      </c>
      <c r="H72" s="8">
        <v>17</v>
      </c>
      <c r="I72" s="8">
        <v>25</v>
      </c>
      <c r="J72" s="9">
        <v>45385</v>
      </c>
      <c r="K72" s="14">
        <f t="shared" si="1"/>
        <v>425</v>
      </c>
    </row>
    <row r="73" spans="1:11" x14ac:dyDescent="0.45">
      <c r="A73" s="8">
        <v>1047</v>
      </c>
      <c r="B73" s="8" t="s">
        <v>116</v>
      </c>
      <c r="C73" s="8" t="s">
        <v>42</v>
      </c>
      <c r="D73" s="8" t="s">
        <v>50</v>
      </c>
      <c r="E73" s="8">
        <v>32</v>
      </c>
      <c r="F73" s="8">
        <v>8</v>
      </c>
      <c r="G73" s="11" t="s">
        <v>47</v>
      </c>
      <c r="H73" s="8">
        <v>19</v>
      </c>
      <c r="I73" s="8">
        <v>5</v>
      </c>
      <c r="J73" s="9">
        <v>45415</v>
      </c>
      <c r="K73" s="14">
        <f t="shared" si="1"/>
        <v>95</v>
      </c>
    </row>
    <row r="74" spans="1:11" x14ac:dyDescent="0.45">
      <c r="A74" s="8">
        <v>1048</v>
      </c>
      <c r="B74" s="8" t="s">
        <v>117</v>
      </c>
      <c r="C74" s="8" t="s">
        <v>45</v>
      </c>
      <c r="D74" s="8" t="s">
        <v>37</v>
      </c>
      <c r="E74" s="8">
        <v>12</v>
      </c>
      <c r="F74" s="8">
        <v>50</v>
      </c>
      <c r="G74" s="11" t="s">
        <v>50</v>
      </c>
      <c r="H74" s="8">
        <v>32</v>
      </c>
      <c r="I74" s="8">
        <v>8</v>
      </c>
      <c r="J74" s="9">
        <v>45446</v>
      </c>
      <c r="K74" s="14">
        <f t="shared" si="1"/>
        <v>256</v>
      </c>
    </row>
    <row r="75" spans="1:11" x14ac:dyDescent="0.45">
      <c r="A75" s="8">
        <v>1049</v>
      </c>
      <c r="B75" s="8" t="s">
        <v>118</v>
      </c>
      <c r="C75" s="8" t="s">
        <v>36</v>
      </c>
      <c r="D75" s="8" t="s">
        <v>40</v>
      </c>
      <c r="E75" s="8">
        <v>25</v>
      </c>
      <c r="F75" s="8">
        <v>10</v>
      </c>
      <c r="G75" s="11" t="s">
        <v>37</v>
      </c>
      <c r="H75" s="8">
        <v>12</v>
      </c>
      <c r="I75" s="8">
        <v>50</v>
      </c>
      <c r="J75" s="9">
        <v>45476</v>
      </c>
      <c r="K75" s="14">
        <f t="shared" si="1"/>
        <v>600</v>
      </c>
    </row>
    <row r="76" spans="1:11" x14ac:dyDescent="0.45">
      <c r="A76" s="8">
        <v>1050</v>
      </c>
      <c r="B76" s="8" t="s">
        <v>119</v>
      </c>
      <c r="C76" s="8" t="s">
        <v>39</v>
      </c>
      <c r="D76" s="2"/>
      <c r="E76" s="2"/>
      <c r="F76" s="2"/>
      <c r="G76" s="11" t="s">
        <v>40</v>
      </c>
      <c r="H76" s="8">
        <v>25</v>
      </c>
      <c r="I76" s="8">
        <v>10</v>
      </c>
      <c r="J76" s="9">
        <v>45507</v>
      </c>
      <c r="K76" s="14">
        <f t="shared" si="1"/>
        <v>250</v>
      </c>
    </row>
  </sheetData>
  <mergeCells count="15">
    <mergeCell ref="A9:C10"/>
    <mergeCell ref="A1:G2"/>
    <mergeCell ref="C4:G4"/>
    <mergeCell ref="C5:G5"/>
    <mergeCell ref="C6:G6"/>
    <mergeCell ref="C3:G3"/>
    <mergeCell ref="M42:P43"/>
    <mergeCell ref="M53:P54"/>
    <mergeCell ref="M37:P38"/>
    <mergeCell ref="M39:P39"/>
    <mergeCell ref="A17:G19"/>
    <mergeCell ref="M27:P28"/>
    <mergeCell ref="M29:P29"/>
    <mergeCell ref="M32:P33"/>
    <mergeCell ref="M34:P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384-FF62-4418-9B68-A66866AA5F6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prajapati</dc:creator>
  <cp:lastModifiedBy>vipin prajapati</cp:lastModifiedBy>
  <dcterms:created xsi:type="dcterms:W3CDTF">2025-11-06T14:57:46Z</dcterms:created>
  <dcterms:modified xsi:type="dcterms:W3CDTF">2025-11-08T08:23:25Z</dcterms:modified>
</cp:coreProperties>
</file>